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C:\Users\JP\Desktop\projectos\controle_entrada\"/>
    </mc:Choice>
  </mc:AlternateContent>
  <xr:revisionPtr revIDLastSave="0" documentId="13_ncr:1_{8F1B3B59-6140-4E48-899C-559E08511E1A}" xr6:coauthVersionLast="43" xr6:coauthVersionMax="43" xr10:uidLastSave="{00000000-0000-0000-0000-000000000000}"/>
  <bookViews>
    <workbookView xWindow="-120" yWindow="-120" windowWidth="20730" windowHeight="11760" xr2:uid="{00000000-000D-0000-FFFF-FFFF00000000}"/>
  </bookViews>
  <sheets>
    <sheet name="Planilha1" sheetId="1" r:id="rId1"/>
    <sheet name="Planilh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2" l="1"/>
  <c r="F2" i="2"/>
  <c r="E2" i="2"/>
  <c r="G9" i="1" l="1"/>
  <c r="G4" i="1"/>
  <c r="G18" i="1"/>
  <c r="H18" i="1" s="1"/>
  <c r="G16" i="1"/>
  <c r="F16" i="1"/>
  <c r="G15" i="1"/>
  <c r="H15" i="1" s="1"/>
  <c r="G14" i="1"/>
  <c r="F14" i="1"/>
  <c r="H14" i="1" s="1"/>
  <c r="G13" i="1"/>
  <c r="H13" i="1" s="1"/>
  <c r="G12" i="1"/>
  <c r="H12" i="1" s="1"/>
  <c r="G10" i="1"/>
  <c r="H10" i="1" s="1"/>
  <c r="H9" i="1"/>
  <c r="G8" i="1"/>
  <c r="H8" i="1" s="1"/>
  <c r="G7" i="1"/>
  <c r="H7" i="1" s="1"/>
  <c r="G5" i="1"/>
  <c r="H5" i="1" s="1"/>
  <c r="G6" i="1"/>
  <c r="H21" i="1"/>
  <c r="H20" i="1"/>
  <c r="H19" i="1"/>
  <c r="H17" i="1"/>
  <c r="H11" i="1"/>
  <c r="H6" i="1"/>
  <c r="H4" i="1"/>
  <c r="F3" i="1"/>
  <c r="H16" i="1" l="1"/>
  <c r="G3" i="1"/>
  <c r="H3" i="1"/>
</calcChain>
</file>

<file path=xl/sharedStrings.xml><?xml version="1.0" encoding="utf-8"?>
<sst xmlns="http://schemas.openxmlformats.org/spreadsheetml/2006/main" count="96" uniqueCount="65">
  <si>
    <t>N.º</t>
  </si>
  <si>
    <t>NATUREZA ECONÓMICA DA DESPESA</t>
  </si>
  <si>
    <t>RH_D</t>
  </si>
  <si>
    <t>COM</t>
  </si>
  <si>
    <t>3.3.2.1.0.1</t>
  </si>
  <si>
    <t>4.1.1.9</t>
  </si>
  <si>
    <t>3.3.2.2.0.9</t>
  </si>
  <si>
    <t>LOGIS</t>
  </si>
  <si>
    <t>3.3.1.1.0.1.1</t>
  </si>
  <si>
    <t>3.3.1.1.0.1.2</t>
  </si>
  <si>
    <t>3.3.1.1.0.1.3</t>
  </si>
  <si>
    <t>3.3.2.2.0.5</t>
  </si>
  <si>
    <t>3.3.2.2.0.6.0.3</t>
  </si>
  <si>
    <t>4.1.1.3</t>
  </si>
  <si>
    <t>3.3.2.2.0.1</t>
  </si>
  <si>
    <t>Mat Escr</t>
  </si>
  <si>
    <t>3.3.1.1.0.9</t>
  </si>
  <si>
    <t>Ferr Uten</t>
  </si>
  <si>
    <t>3.3.1.2.0.9</t>
  </si>
  <si>
    <t>Formação</t>
  </si>
  <si>
    <t>3.3.2.1.0.3</t>
  </si>
  <si>
    <t>3.1.1.2</t>
  </si>
  <si>
    <t>3.3.2.2.0.6.0.1</t>
  </si>
  <si>
    <t>Bilhetes de Passagem</t>
  </si>
  <si>
    <t>3.3.2.2.0.6.0.2</t>
  </si>
  <si>
    <t>Subsídios de Deslocação</t>
  </si>
  <si>
    <t>3.3.1.1.0.2</t>
  </si>
  <si>
    <t>Víveres e Géneros Alimentícios</t>
  </si>
  <si>
    <t>3.3.2.1.0.2</t>
  </si>
  <si>
    <t>Despesas de Saúde</t>
  </si>
  <si>
    <t>Serviços de Telecomunicações</t>
  </si>
  <si>
    <t>Outros bens de Capital Fixo</t>
  </si>
  <si>
    <t>Outros Serviços</t>
  </si>
  <si>
    <t>Gasóleo</t>
  </si>
  <si>
    <t>Gasolina</t>
  </si>
  <si>
    <t>Lubrificantes</t>
  </si>
  <si>
    <t>Serviços de Manutenção e Conservação</t>
  </si>
  <si>
    <t>Serviços de Transporte de Pessoas e Bens</t>
  </si>
  <si>
    <t>Meios e Equipamentos  de Transporte</t>
  </si>
  <si>
    <t>Seguros</t>
  </si>
  <si>
    <t>Outros Materiais de Consumo Corrente</t>
  </si>
  <si>
    <t>Outros Materiais e Utensílios Duradouros</t>
  </si>
  <si>
    <t>Serviços Ensino e Formação</t>
  </si>
  <si>
    <t>Qtde</t>
  </si>
  <si>
    <t>Preço Unitário</t>
  </si>
  <si>
    <t>Valor Total</t>
  </si>
  <si>
    <t>Remunerações Variáveis ou Eventuais do Pessoal</t>
  </si>
  <si>
    <t>Prazo de Execução de 6 meses</t>
  </si>
  <si>
    <t>Abril - Nov/2019</t>
  </si>
  <si>
    <t>Código</t>
  </si>
  <si>
    <t>NATUREZA ECONÔMICA DA DESPEZA</t>
  </si>
  <si>
    <t>Remunerações</t>
  </si>
  <si>
    <t>Logística</t>
  </si>
  <si>
    <t>3.3.2.1</t>
  </si>
  <si>
    <t>Outros Bens de Capital Fixo (Câmeras, Cabos)</t>
  </si>
  <si>
    <t>3.3.2.2</t>
  </si>
  <si>
    <t>3.3.2.3</t>
  </si>
  <si>
    <t>Serviços de Formação e Treinamento</t>
  </si>
  <si>
    <t>3.3.1.9</t>
  </si>
  <si>
    <t>3.3.6.3</t>
  </si>
  <si>
    <t>Meios e Equipamentos de Instalação</t>
  </si>
  <si>
    <t>3.3.2.0</t>
  </si>
  <si>
    <t>Serviços de Testes e Validação</t>
  </si>
  <si>
    <t>Logistica</t>
  </si>
  <si>
    <t>3.4.0.9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</si>
</sst>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3" fontId="5" fillId="0" borderId="0" xfId="0" applyNumberFormat="1" applyFont="1"/>
    <xf numFmtId="3" fontId="0" fillId="0" borderId="0" xfId="0" applyNumberFormat="1"/>
    <xf numFmtId="3" fontId="5" fillId="0" borderId="0" xfId="0" applyNumberFormat="1" applyFont="1" applyAlignment="1">
      <alignment horizontal="center"/>
    </xf>
    <xf numFmtId="3" fontId="1" fillId="0" borderId="1" xfId="0" applyNumberFormat="1" applyFont="1" applyBorder="1"/>
    <xf numFmtId="0" fontId="6" fillId="2" borderId="0" xfId="0" applyFont="1" applyFill="1"/>
  </cellXfs>
  <cellStyles count="1">
    <cellStyle name="Normal" xfId="0" builtinId="0"/>
  </cellStyles>
  <dxfs count="3">
    <dxf>
      <numFmt numFmtId="2" formatCode="0.00"/>
    </dxf>
    <dxf>
      <numFmt numFmtId="164" formatCode="\-"/>
    </dxf>
    <dxf>
      <numFmt numFmtId="164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25"/>
  <sheetViews>
    <sheetView tabSelected="1" workbookViewId="0">
      <selection activeCell="F13" sqref="F13"/>
    </sheetView>
  </sheetViews>
  <sheetFormatPr defaultRowHeight="15" x14ac:dyDescent="0.25"/>
  <cols>
    <col min="3" max="3" width="11.140625" bestFit="1" customWidth="1"/>
    <col min="4" max="4" width="12.140625" customWidth="1"/>
    <col min="5" max="5" width="49.7109375" customWidth="1"/>
    <col min="6" max="6" width="13.140625" bestFit="1" customWidth="1"/>
    <col min="7" max="7" width="13.5703125" customWidth="1"/>
    <col min="8" max="8" width="13.42578125" bestFit="1" customWidth="1"/>
    <col min="11" max="11" width="13.140625" bestFit="1" customWidth="1"/>
  </cols>
  <sheetData>
    <row r="2" spans="3:11" x14ac:dyDescent="0.25">
      <c r="C2" s="1"/>
      <c r="D2" s="1"/>
      <c r="E2" s="1"/>
      <c r="F2" s="2" t="s">
        <v>43</v>
      </c>
      <c r="G2" s="2" t="s">
        <v>44</v>
      </c>
      <c r="H2" s="2" t="s">
        <v>45</v>
      </c>
    </row>
    <row r="3" spans="3:11" ht="15.75" thickBot="1" x14ac:dyDescent="0.3">
      <c r="C3" s="3"/>
      <c r="D3" s="4" t="s">
        <v>0</v>
      </c>
      <c r="E3" s="5" t="s">
        <v>1</v>
      </c>
      <c r="F3" s="11">
        <f>SUM(F4:F21)</f>
        <v>7250</v>
      </c>
      <c r="G3" s="11">
        <f>SUM(G4:G21)</f>
        <v>8442152250</v>
      </c>
      <c r="H3" s="11">
        <f>SUM(H4:H21)</f>
        <v>25495478750</v>
      </c>
    </row>
    <row r="4" spans="3:11" ht="15.75" thickTop="1" x14ac:dyDescent="0.25">
      <c r="C4" s="6" t="s">
        <v>2</v>
      </c>
      <c r="D4" s="7" t="s">
        <v>21</v>
      </c>
      <c r="E4" s="7" t="s">
        <v>46</v>
      </c>
      <c r="F4" s="10">
        <v>35</v>
      </c>
      <c r="G4" s="8">
        <f>F4*250000*8</f>
        <v>70000000</v>
      </c>
      <c r="H4" s="8">
        <f>F4*G4</f>
        <v>2450000000</v>
      </c>
      <c r="K4" s="8"/>
    </row>
    <row r="5" spans="3:11" x14ac:dyDescent="0.25">
      <c r="C5" s="6" t="s">
        <v>2</v>
      </c>
      <c r="D5" s="7" t="s">
        <v>22</v>
      </c>
      <c r="E5" s="7" t="s">
        <v>23</v>
      </c>
      <c r="F5" s="10">
        <v>2</v>
      </c>
      <c r="G5" s="8">
        <f>450000*2*5</f>
        <v>4500000</v>
      </c>
      <c r="H5" s="8">
        <f t="shared" ref="H5:H21" si="0">F5*G5</f>
        <v>9000000</v>
      </c>
      <c r="K5" s="9"/>
    </row>
    <row r="6" spans="3:11" x14ac:dyDescent="0.25">
      <c r="C6" s="6" t="s">
        <v>2</v>
      </c>
      <c r="D6" s="7" t="s">
        <v>24</v>
      </c>
      <c r="E6" s="7" t="s">
        <v>25</v>
      </c>
      <c r="F6" s="10">
        <v>35</v>
      </c>
      <c r="G6" s="8">
        <f>18750*35*5</f>
        <v>3281250</v>
      </c>
      <c r="H6" s="8">
        <f t="shared" si="0"/>
        <v>114843750</v>
      </c>
    </row>
    <row r="7" spans="3:11" x14ac:dyDescent="0.25">
      <c r="C7" s="6" t="s">
        <v>2</v>
      </c>
      <c r="D7" s="7" t="s">
        <v>26</v>
      </c>
      <c r="E7" s="7" t="s">
        <v>27</v>
      </c>
      <c r="F7" s="10">
        <v>35</v>
      </c>
      <c r="G7" s="8">
        <f>3500*35*30*6</f>
        <v>22050000</v>
      </c>
      <c r="H7" s="8">
        <f t="shared" si="0"/>
        <v>771750000</v>
      </c>
    </row>
    <row r="8" spans="3:11" x14ac:dyDescent="0.25">
      <c r="C8" s="6" t="s">
        <v>2</v>
      </c>
      <c r="D8" s="7" t="s">
        <v>28</v>
      </c>
      <c r="E8" s="7" t="s">
        <v>29</v>
      </c>
      <c r="F8" s="10">
        <v>35</v>
      </c>
      <c r="G8" s="8">
        <f>35*250000</f>
        <v>8750000</v>
      </c>
      <c r="H8" s="8">
        <f t="shared" si="0"/>
        <v>306250000</v>
      </c>
    </row>
    <row r="9" spans="3:11" x14ac:dyDescent="0.25">
      <c r="C9" s="6" t="s">
        <v>3</v>
      </c>
      <c r="D9" s="7" t="s">
        <v>4</v>
      </c>
      <c r="E9" s="7" t="s">
        <v>30</v>
      </c>
      <c r="F9" s="10">
        <v>6</v>
      </c>
      <c r="G9" s="8">
        <f>90000000*F9</f>
        <v>540000000</v>
      </c>
      <c r="H9" s="8">
        <f t="shared" si="0"/>
        <v>3240000000</v>
      </c>
    </row>
    <row r="10" spans="3:11" x14ac:dyDescent="0.25">
      <c r="C10" s="6" t="s">
        <v>3</v>
      </c>
      <c r="D10" s="7" t="s">
        <v>5</v>
      </c>
      <c r="E10" s="7" t="s">
        <v>31</v>
      </c>
      <c r="F10" s="10">
        <v>15</v>
      </c>
      <c r="G10" s="8">
        <f>10*16000000+5*18500000</f>
        <v>252500000</v>
      </c>
      <c r="H10" s="8">
        <f t="shared" si="0"/>
        <v>3787500000</v>
      </c>
    </row>
    <row r="11" spans="3:11" x14ac:dyDescent="0.25">
      <c r="C11" s="6" t="s">
        <v>3</v>
      </c>
      <c r="D11" s="7" t="s">
        <v>6</v>
      </c>
      <c r="E11" s="7" t="s">
        <v>32</v>
      </c>
      <c r="F11" s="10">
        <v>10</v>
      </c>
      <c r="G11" s="8">
        <v>50000000</v>
      </c>
      <c r="H11" s="8">
        <f t="shared" si="0"/>
        <v>500000000</v>
      </c>
    </row>
    <row r="12" spans="3:11" x14ac:dyDescent="0.25">
      <c r="C12" s="6" t="s">
        <v>7</v>
      </c>
      <c r="D12" s="7" t="s">
        <v>8</v>
      </c>
      <c r="E12" s="7" t="s">
        <v>33</v>
      </c>
      <c r="F12" s="10">
        <v>15</v>
      </c>
      <c r="G12" s="8">
        <f>15*160*30*6</f>
        <v>432000</v>
      </c>
      <c r="H12" s="8">
        <f t="shared" si="0"/>
        <v>6480000</v>
      </c>
    </row>
    <row r="13" spans="3:11" x14ac:dyDescent="0.25">
      <c r="C13" s="6" t="s">
        <v>7</v>
      </c>
      <c r="D13" s="7" t="s">
        <v>9</v>
      </c>
      <c r="E13" s="7" t="s">
        <v>34</v>
      </c>
      <c r="F13" s="10">
        <v>15</v>
      </c>
      <c r="G13" s="8">
        <f>15*160*30*6</f>
        <v>432000</v>
      </c>
      <c r="H13" s="8">
        <f t="shared" si="0"/>
        <v>6480000</v>
      </c>
    </row>
    <row r="14" spans="3:11" x14ac:dyDescent="0.25">
      <c r="C14" s="6" t="s">
        <v>7</v>
      </c>
      <c r="D14" s="7" t="s">
        <v>10</v>
      </c>
      <c r="E14" s="7" t="s">
        <v>35</v>
      </c>
      <c r="F14" s="10">
        <f>5</f>
        <v>5</v>
      </c>
      <c r="G14" s="8">
        <f>5*1000*15*3</f>
        <v>225000</v>
      </c>
      <c r="H14" s="8">
        <f t="shared" si="0"/>
        <v>1125000</v>
      </c>
    </row>
    <row r="15" spans="3:11" x14ac:dyDescent="0.25">
      <c r="C15" s="6" t="s">
        <v>7</v>
      </c>
      <c r="D15" s="7" t="s">
        <v>11</v>
      </c>
      <c r="E15" s="7" t="s">
        <v>36</v>
      </c>
      <c r="F15" s="10">
        <v>15</v>
      </c>
      <c r="G15" s="8">
        <f>15*30*3*350000</f>
        <v>472500000</v>
      </c>
      <c r="H15" s="8">
        <f t="shared" si="0"/>
        <v>7087500000</v>
      </c>
    </row>
    <row r="16" spans="3:11" x14ac:dyDescent="0.25">
      <c r="C16" s="6" t="s">
        <v>7</v>
      </c>
      <c r="D16" s="7" t="s">
        <v>12</v>
      </c>
      <c r="E16" s="7" t="s">
        <v>37</v>
      </c>
      <c r="F16" s="10">
        <f>6</f>
        <v>6</v>
      </c>
      <c r="G16" s="8">
        <f>6*300000</f>
        <v>1800000</v>
      </c>
      <c r="H16" s="8">
        <f t="shared" si="0"/>
        <v>10800000</v>
      </c>
    </row>
    <row r="17" spans="3:8" x14ac:dyDescent="0.25">
      <c r="C17" s="6" t="s">
        <v>7</v>
      </c>
      <c r="D17" s="7" t="s">
        <v>13</v>
      </c>
      <c r="E17" s="7" t="s">
        <v>38</v>
      </c>
      <c r="F17" s="10">
        <v>5</v>
      </c>
      <c r="G17" s="8">
        <v>14000000</v>
      </c>
      <c r="H17" s="8">
        <f t="shared" si="0"/>
        <v>70000000</v>
      </c>
    </row>
    <row r="18" spans="3:8" x14ac:dyDescent="0.25">
      <c r="C18" s="6" t="s">
        <v>7</v>
      </c>
      <c r="D18" s="7" t="s">
        <v>14</v>
      </c>
      <c r="E18" s="7" t="s">
        <v>39</v>
      </c>
      <c r="F18" s="10">
        <v>15</v>
      </c>
      <c r="G18" s="8">
        <f>F18*110000</f>
        <v>1650000</v>
      </c>
      <c r="H18" s="8">
        <f t="shared" si="0"/>
        <v>24750000</v>
      </c>
    </row>
    <row r="19" spans="3:8" x14ac:dyDescent="0.25">
      <c r="C19" s="6" t="s">
        <v>15</v>
      </c>
      <c r="D19" s="7" t="s">
        <v>16</v>
      </c>
      <c r="E19" s="7" t="s">
        <v>40</v>
      </c>
      <c r="F19" s="10">
        <v>2000</v>
      </c>
      <c r="G19" s="8">
        <v>17000</v>
      </c>
      <c r="H19" s="8">
        <f t="shared" si="0"/>
        <v>34000000</v>
      </c>
    </row>
    <row r="20" spans="3:8" x14ac:dyDescent="0.25">
      <c r="C20" s="6" t="s">
        <v>17</v>
      </c>
      <c r="D20" s="7" t="s">
        <v>18</v>
      </c>
      <c r="E20" s="7" t="s">
        <v>41</v>
      </c>
      <c r="F20" s="10">
        <v>5000</v>
      </c>
      <c r="G20" s="8">
        <v>15000</v>
      </c>
      <c r="H20" s="8">
        <f t="shared" si="0"/>
        <v>75000000</v>
      </c>
    </row>
    <row r="21" spans="3:8" x14ac:dyDescent="0.25">
      <c r="C21" s="6" t="s">
        <v>19</v>
      </c>
      <c r="D21" s="7" t="s">
        <v>20</v>
      </c>
      <c r="E21" s="7" t="s">
        <v>42</v>
      </c>
      <c r="F21" s="10">
        <v>1</v>
      </c>
      <c r="G21" s="8">
        <v>7000000000</v>
      </c>
      <c r="H21" s="8">
        <f t="shared" si="0"/>
        <v>7000000000</v>
      </c>
    </row>
    <row r="23" spans="3:8" ht="15.75" x14ac:dyDescent="0.25">
      <c r="E23" s="12" t="s">
        <v>47</v>
      </c>
    </row>
    <row r="25" spans="3:8" x14ac:dyDescent="0.25">
      <c r="E25" t="s">
        <v>48</v>
      </c>
    </row>
  </sheetData>
  <conditionalFormatting sqref="K4 F4:H21">
    <cfRule type="cellIs" dxfId="2" priority="1" operator="equal">
      <formula>0</formula>
    </cfRule>
    <cfRule type="containsBlanks" dxfId="1" priority="2">
      <formula>LEN(TRIM(F4))=0</formula>
    </cfRule>
    <cfRule type="containsBlanks" dxfId="0" priority="3">
      <formula>LEN(TRIM(F4))=0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4987-29B1-41A3-9FDB-7FF142E16A21}">
  <dimension ref="A1:F12"/>
  <sheetViews>
    <sheetView workbookViewId="0">
      <selection sqref="A1:F12"/>
    </sheetView>
  </sheetViews>
  <sheetFormatPr defaultRowHeight="15" x14ac:dyDescent="0.25"/>
  <sheetData>
    <row r="1" spans="1:6" x14ac:dyDescent="0.25">
      <c r="B1" t="s">
        <v>49</v>
      </c>
      <c r="C1" t="s">
        <v>50</v>
      </c>
      <c r="D1" t="s">
        <v>43</v>
      </c>
      <c r="E1" t="s">
        <v>44</v>
      </c>
      <c r="F1" t="s">
        <v>45</v>
      </c>
    </row>
    <row r="2" spans="1:6" x14ac:dyDescent="0.25">
      <c r="D2">
        <f>SUM(D3:D12)</f>
        <v>11</v>
      </c>
      <c r="E2" s="9">
        <f>SUM(E3:E12)</f>
        <v>2250000</v>
      </c>
      <c r="F2" s="9">
        <f>SUM(F3:F12)</f>
        <v>2500000</v>
      </c>
    </row>
    <row r="3" spans="1:6" x14ac:dyDescent="0.25">
      <c r="A3" t="s">
        <v>2</v>
      </c>
      <c r="B3" t="s">
        <v>21</v>
      </c>
      <c r="C3" t="s">
        <v>51</v>
      </c>
      <c r="D3">
        <v>2</v>
      </c>
      <c r="E3" s="9">
        <v>250000</v>
      </c>
      <c r="F3" s="9">
        <v>500000</v>
      </c>
    </row>
    <row r="4" spans="1:6" x14ac:dyDescent="0.25">
      <c r="A4" t="s">
        <v>52</v>
      </c>
      <c r="B4" t="s">
        <v>53</v>
      </c>
      <c r="C4" t="s">
        <v>30</v>
      </c>
      <c r="D4">
        <v>1</v>
      </c>
      <c r="E4" s="9">
        <v>100000</v>
      </c>
      <c r="F4" s="9">
        <v>100000</v>
      </c>
    </row>
    <row r="5" spans="1:6" x14ac:dyDescent="0.25">
      <c r="A5" t="s">
        <v>52</v>
      </c>
      <c r="B5" t="s">
        <v>5</v>
      </c>
      <c r="C5" t="s">
        <v>54</v>
      </c>
      <c r="D5">
        <v>1</v>
      </c>
      <c r="E5" s="9">
        <v>600000</v>
      </c>
      <c r="F5" s="9">
        <v>600000</v>
      </c>
    </row>
    <row r="6" spans="1:6" x14ac:dyDescent="0.25">
      <c r="A6" t="s">
        <v>52</v>
      </c>
      <c r="B6" t="s">
        <v>55</v>
      </c>
      <c r="C6" t="s">
        <v>36</v>
      </c>
      <c r="D6">
        <v>1</v>
      </c>
      <c r="E6" s="9">
        <v>150000</v>
      </c>
      <c r="F6" s="9">
        <v>150000</v>
      </c>
    </row>
    <row r="7" spans="1:6" x14ac:dyDescent="0.25">
      <c r="A7" t="s">
        <v>19</v>
      </c>
      <c r="B7" t="s">
        <v>56</v>
      </c>
      <c r="C7" t="s">
        <v>57</v>
      </c>
      <c r="D7">
        <v>1</v>
      </c>
      <c r="E7" s="9">
        <v>200000</v>
      </c>
      <c r="F7" s="9">
        <v>200000</v>
      </c>
    </row>
    <row r="8" spans="1:6" x14ac:dyDescent="0.25">
      <c r="A8" t="s">
        <v>52</v>
      </c>
      <c r="B8" t="s">
        <v>58</v>
      </c>
      <c r="C8" t="s">
        <v>40</v>
      </c>
      <c r="D8">
        <v>1</v>
      </c>
      <c r="E8" s="9">
        <v>300000</v>
      </c>
      <c r="F8" s="9">
        <v>300000</v>
      </c>
    </row>
    <row r="9" spans="1:6" x14ac:dyDescent="0.25">
      <c r="A9" t="s">
        <v>2</v>
      </c>
      <c r="B9" t="s">
        <v>59</v>
      </c>
      <c r="C9" t="s">
        <v>37</v>
      </c>
      <c r="D9">
        <v>1</v>
      </c>
      <c r="E9" s="9">
        <v>100000</v>
      </c>
      <c r="F9" s="9">
        <v>100000</v>
      </c>
    </row>
    <row r="10" spans="1:6" x14ac:dyDescent="0.25">
      <c r="A10" t="s">
        <v>52</v>
      </c>
      <c r="B10" t="s">
        <v>13</v>
      </c>
      <c r="C10" t="s">
        <v>60</v>
      </c>
      <c r="D10">
        <v>1</v>
      </c>
      <c r="E10" s="9">
        <v>150000</v>
      </c>
      <c r="F10" s="9">
        <v>150000</v>
      </c>
    </row>
    <row r="11" spans="1:6" x14ac:dyDescent="0.25">
      <c r="A11" t="s">
        <v>52</v>
      </c>
      <c r="B11" t="s">
        <v>61</v>
      </c>
      <c r="C11" t="s">
        <v>62</v>
      </c>
      <c r="D11">
        <v>1</v>
      </c>
      <c r="E11" s="9">
        <v>150000</v>
      </c>
      <c r="F11" s="9">
        <v>150000</v>
      </c>
    </row>
    <row r="12" spans="1:6" x14ac:dyDescent="0.25">
      <c r="A12" t="s">
        <v>63</v>
      </c>
      <c r="B12" t="s">
        <v>64</v>
      </c>
      <c r="C12" t="s">
        <v>32</v>
      </c>
      <c r="D12">
        <v>1</v>
      </c>
      <c r="E12" s="9">
        <v>250000</v>
      </c>
      <c r="F12" s="9">
        <v>250000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Pascoal Stna</dc:creator>
  <cp:lastModifiedBy>JP</cp:lastModifiedBy>
  <dcterms:created xsi:type="dcterms:W3CDTF">2019-02-26T17:25:19Z</dcterms:created>
  <dcterms:modified xsi:type="dcterms:W3CDTF">2025-06-24T00:05:51Z</dcterms:modified>
</cp:coreProperties>
</file>